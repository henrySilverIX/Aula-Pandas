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luno2\Downloads\"/>
    </mc:Choice>
  </mc:AlternateContent>
  <xr:revisionPtr revIDLastSave="0" documentId="13_ncr:1_{A75E1C03-1F4A-48CC-968A-EEC93CEDF086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Vendas" sheetId="1" r:id="rId1"/>
    <sheet name="Despesas" sheetId="2" r:id="rId2"/>
    <sheet name="Alunos_Notas" sheetId="3" r:id="rId3"/>
    <sheet name="Estoque" sheetId="4" r:id="rId4"/>
    <sheet name="Como_usar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4" l="1"/>
  <c r="H8" i="4"/>
  <c r="H7" i="4"/>
  <c r="H6" i="4"/>
  <c r="H5" i="4"/>
  <c r="H4" i="4"/>
  <c r="H3" i="4"/>
  <c r="H2" i="4"/>
  <c r="G9" i="3"/>
  <c r="H9" i="3" s="1"/>
  <c r="G8" i="3"/>
  <c r="H8" i="3" s="1"/>
  <c r="H7" i="3"/>
  <c r="G7" i="3"/>
  <c r="H6" i="3"/>
  <c r="G6" i="3"/>
  <c r="H5" i="3"/>
  <c r="G5" i="3"/>
  <c r="H4" i="3"/>
  <c r="G4" i="3"/>
  <c r="H3" i="3"/>
  <c r="G3" i="3"/>
  <c r="H2" i="3"/>
  <c r="G2" i="3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<sst xmlns="http://schemas.openxmlformats.org/spreadsheetml/2006/main" count="199" uniqueCount="112">
  <si>
    <t>Data</t>
  </si>
  <si>
    <t>Vendedor</t>
  </si>
  <si>
    <t>Cliente</t>
  </si>
  <si>
    <t>Produto</t>
  </si>
  <si>
    <t>Categoria</t>
  </si>
  <si>
    <t>Quantidade</t>
  </si>
  <si>
    <t>Preço Unitário</t>
  </si>
  <si>
    <t>Forma de Pagamento</t>
  </si>
  <si>
    <t>Total</t>
  </si>
  <si>
    <t>Ana</t>
  </si>
  <si>
    <t>Padaria Sol</t>
  </si>
  <si>
    <t>Café 500g</t>
  </si>
  <si>
    <t>Alimentos</t>
  </si>
  <si>
    <t>Pix</t>
  </si>
  <si>
    <t>Bruno</t>
  </si>
  <si>
    <t>Mercado Norte</t>
  </si>
  <si>
    <t>Açúcar 1kg</t>
  </si>
  <si>
    <t>Boleto</t>
  </si>
  <si>
    <t>Carla</t>
  </si>
  <si>
    <t>Doces Lima</t>
  </si>
  <si>
    <t>Chocolate Barra</t>
  </si>
  <si>
    <t>Doces</t>
  </si>
  <si>
    <t>Cartão</t>
  </si>
  <si>
    <t>Loja Centro</t>
  </si>
  <si>
    <t>Copo Descartável</t>
  </si>
  <si>
    <t>Descartáveis</t>
  </si>
  <si>
    <t>Diego</t>
  </si>
  <si>
    <t>Mercado Sul</t>
  </si>
  <si>
    <t>Leite 1L</t>
  </si>
  <si>
    <t>Granulado 500g</t>
  </si>
  <si>
    <t>Café &amp; Cia</t>
  </si>
  <si>
    <t>Guardanapo</t>
  </si>
  <si>
    <t>Descrição</t>
  </si>
  <si>
    <t>Valor</t>
  </si>
  <si>
    <t>Pago?</t>
  </si>
  <si>
    <t>Aluguel</t>
  </si>
  <si>
    <t>Moradia</t>
  </si>
  <si>
    <t>Transferência</t>
  </si>
  <si>
    <t>Sim</t>
  </si>
  <si>
    <t>Conta de luz</t>
  </si>
  <si>
    <t>Contas</t>
  </si>
  <si>
    <t>Internet</t>
  </si>
  <si>
    <t>Supermercado</t>
  </si>
  <si>
    <t>Alimentação</t>
  </si>
  <si>
    <t>Farmácia</t>
  </si>
  <si>
    <t>Saúde</t>
  </si>
  <si>
    <t>Restaurante</t>
  </si>
  <si>
    <t>Lazer</t>
  </si>
  <si>
    <t>Curso online</t>
  </si>
  <si>
    <t>Educação</t>
  </si>
  <si>
    <t>Não</t>
  </si>
  <si>
    <t>Transporte</t>
  </si>
  <si>
    <t>Mobilidade</t>
  </si>
  <si>
    <t>Cinema</t>
  </si>
  <si>
    <t>Material de escritório</t>
  </si>
  <si>
    <t>Trabalho</t>
  </si>
  <si>
    <t>Aluno</t>
  </si>
  <si>
    <t>Curso</t>
  </si>
  <si>
    <t>Aula 1</t>
  </si>
  <si>
    <t>Aula 2</t>
  </si>
  <si>
    <t>Projeto</t>
  </si>
  <si>
    <t>Presença (%)</t>
  </si>
  <si>
    <t>Média</t>
  </si>
  <si>
    <t>Situação</t>
  </si>
  <si>
    <t>Mariana</t>
  </si>
  <si>
    <t>Python Básico</t>
  </si>
  <si>
    <t>Rafael</t>
  </si>
  <si>
    <t>Juliana</t>
  </si>
  <si>
    <t>Carlos</t>
  </si>
  <si>
    <t>Bianca</t>
  </si>
  <si>
    <t>Lucas</t>
  </si>
  <si>
    <t>Fernanda</t>
  </si>
  <si>
    <t>Paulo</t>
  </si>
  <si>
    <t>Código</t>
  </si>
  <si>
    <t>Quantidade Atual</t>
  </si>
  <si>
    <t>Estoque Mínimo</t>
  </si>
  <si>
    <t>Preço de Compra</t>
  </si>
  <si>
    <t>Fornecedor</t>
  </si>
  <si>
    <t>Status</t>
  </si>
  <si>
    <t>P001</t>
  </si>
  <si>
    <t>Distribuidora Alfa</t>
  </si>
  <si>
    <t>P002</t>
  </si>
  <si>
    <t>P003</t>
  </si>
  <si>
    <t>Doces Brasil</t>
  </si>
  <si>
    <t>P004</t>
  </si>
  <si>
    <t>Embalagens Vale</t>
  </si>
  <si>
    <t>P005</t>
  </si>
  <si>
    <t>Laticínios Serra</t>
  </si>
  <si>
    <t>P006</t>
  </si>
  <si>
    <t>P007</t>
  </si>
  <si>
    <t>P008</t>
  </si>
  <si>
    <t>Farinha 1kg</t>
  </si>
  <si>
    <t>Objetivo</t>
  </si>
  <si>
    <t>Planilha</t>
  </si>
  <si>
    <t>Exemplos com pandas</t>
  </si>
  <si>
    <t>Conceitos treinados</t>
  </si>
  <si>
    <t>Somar vendas e filtrar valores altos</t>
  </si>
  <si>
    <t>Vendas</t>
  </si>
  <si>
    <t>read_excel(), sum(), filtros com coluna "Total"</t>
  </si>
  <si>
    <t>colunas, filtros, agregação</t>
  </si>
  <si>
    <t>Analisar gastos por categoria</t>
  </si>
  <si>
    <t>Despesas</t>
  </si>
  <si>
    <t>groupby("Categoria"), sum(), filtros por Pago?</t>
  </si>
  <si>
    <t>agrupamento, soma, condições</t>
  </si>
  <si>
    <t>Calcular médias e aprovações</t>
  </si>
  <si>
    <t>Alunos_Notas</t>
  </si>
  <si>
    <t>mean(), filtros por Situação</t>
  </si>
  <si>
    <t>média, condição, seleção de linhas</t>
  </si>
  <si>
    <t>Ver produtos abaixo do mínimo</t>
  </si>
  <si>
    <t>Estoque</t>
  </si>
  <si>
    <t>filtro Quantidade Atual &lt; Estoque Mínimo</t>
  </si>
  <si>
    <t>comparação entre colunas, relatório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</si>
</sst>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R\$\ #,##0.00"/>
    <numFmt numFmtId="165" formatCode="0.0"/>
    <numFmt numFmtId="166" formatCode="0&quot;%&quot;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wrapText="1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Vendas" displayName="TabelaVendas" ref="A1:I13">
  <tableColumns count="9">
    <tableColumn id="1" xr3:uid="{00000000-0010-0000-0000-000001000000}" name="Data"/>
    <tableColumn id="2" xr3:uid="{00000000-0010-0000-0000-000002000000}" name="Vendedor"/>
    <tableColumn id="3" xr3:uid="{00000000-0010-0000-0000-000003000000}" name="Cliente"/>
    <tableColumn id="4" xr3:uid="{00000000-0010-0000-0000-000004000000}" name="Produto"/>
    <tableColumn id="5" xr3:uid="{00000000-0010-0000-0000-000005000000}" name="Categoria"/>
    <tableColumn id="6" xr3:uid="{00000000-0010-0000-0000-000006000000}" name="Quantidade"/>
    <tableColumn id="7" xr3:uid="{00000000-0010-0000-0000-000007000000}" name="Preço Unitário"/>
    <tableColumn id="8" xr3:uid="{00000000-0010-0000-0000-000008000000}" name="Forma de Pagamento"/>
    <tableColumn id="9" xr3:uid="{00000000-0010-0000-0000-000009000000}" name="Tot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Despesas" displayName="TabelaDespesas" ref="A1:F11">
  <tableColumns count="6">
    <tableColumn id="1" xr3:uid="{00000000-0010-0000-0100-000001000000}" name="Data"/>
    <tableColumn id="2" xr3:uid="{00000000-0010-0000-0100-000002000000}" name="Descrição"/>
    <tableColumn id="3" xr3:uid="{00000000-0010-0000-0100-000003000000}" name="Categoria"/>
    <tableColumn id="4" xr3:uid="{00000000-0010-0000-0100-000004000000}" name="Valor"/>
    <tableColumn id="5" xr3:uid="{00000000-0010-0000-0100-000005000000}" name="Forma de Pagamento"/>
    <tableColumn id="6" xr3:uid="{00000000-0010-0000-0100-000006000000}" name="Pago?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aAlunos" displayName="TabelaAlunos" ref="A1:H9">
  <tableColumns count="8">
    <tableColumn id="1" xr3:uid="{00000000-0010-0000-0200-000001000000}" name="Aluno"/>
    <tableColumn id="2" xr3:uid="{00000000-0010-0000-0200-000002000000}" name="Curso"/>
    <tableColumn id="3" xr3:uid="{00000000-0010-0000-0200-000003000000}" name="Aula 1"/>
    <tableColumn id="4" xr3:uid="{00000000-0010-0000-0200-000004000000}" name="Aula 2"/>
    <tableColumn id="5" xr3:uid="{00000000-0010-0000-0200-000005000000}" name="Projeto"/>
    <tableColumn id="6" xr3:uid="{00000000-0010-0000-0200-000006000000}" name="Presença (%)"/>
    <tableColumn id="7" xr3:uid="{00000000-0010-0000-0200-000007000000}" name="Média"/>
    <tableColumn id="8" xr3:uid="{00000000-0010-0000-0200-000008000000}" name="Situaçã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elaEstoque" displayName="TabelaEstoque" ref="A1:H9">
  <tableColumns count="8">
    <tableColumn id="1" xr3:uid="{00000000-0010-0000-0300-000001000000}" name="Código"/>
    <tableColumn id="2" xr3:uid="{00000000-0010-0000-0300-000002000000}" name="Produto"/>
    <tableColumn id="3" xr3:uid="{00000000-0010-0000-0300-000003000000}" name="Categoria"/>
    <tableColumn id="4" xr3:uid="{00000000-0010-0000-0300-000004000000}" name="Quantidade Atual"/>
    <tableColumn id="5" xr3:uid="{00000000-0010-0000-0300-000005000000}" name="Estoque Mínimo"/>
    <tableColumn id="6" xr3:uid="{00000000-0010-0000-0300-000006000000}" name="Preço de Compra"/>
    <tableColumn id="7" xr3:uid="{00000000-0010-0000-0300-000007000000}" name="Fornecedor"/>
    <tableColumn id="8" xr3:uid="{00000000-0010-0000-0300-000008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workbookViewId="0">
      <selection activeCell="J1" sqref="J1"/>
    </sheetView>
  </sheetViews>
  <sheetFormatPr defaultRowHeight="14.25"/>
  <cols>
    <col min="1" max="1" width="9.75" customWidth="1"/>
    <col min="2" max="2" width="10.5" customWidth="1"/>
    <col min="3" max="3" width="12.875" customWidth="1"/>
    <col min="4" max="4" width="15.375" customWidth="1"/>
    <col min="5" max="5" width="12.875" customWidth="1"/>
    <col min="6" max="6" width="11.5" customWidth="1"/>
    <col min="7" max="7" width="16.25" customWidth="1"/>
    <col min="8" max="8" width="23.375" customWidth="1"/>
    <col min="9" max="9" width="8" customWidth="1"/>
  </cols>
  <sheetData>
    <row r="1" spans="1:9" ht="30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6" t="s">
        <v>7</v>
      </c>
      <c r="I1" s="6" t="s">
        <v>8</v>
      </c>
    </row>
    <row r="2" spans="1:9">
      <c r="A2" s="7">
        <v>46027</v>
      </c>
      <c r="B2" s="7" t="s">
        <v>9</v>
      </c>
      <c r="C2" s="7" t="s">
        <v>10</v>
      </c>
      <c r="D2" s="7" t="s">
        <v>11</v>
      </c>
      <c r="E2" s="7" t="s">
        <v>12</v>
      </c>
      <c r="F2" s="7">
        <v>12</v>
      </c>
      <c r="G2" s="7">
        <v>18.899999999999999</v>
      </c>
      <c r="H2" s="7" t="s">
        <v>13</v>
      </c>
      <c r="I2" s="7">
        <f t="shared" ref="I2:I13" si="0">F2*G2</f>
        <v>226.79999999999998</v>
      </c>
    </row>
    <row r="3" spans="1:9" ht="28.5">
      <c r="A3" s="7">
        <v>46028</v>
      </c>
      <c r="B3" s="7" t="s">
        <v>14</v>
      </c>
      <c r="C3" s="7" t="s">
        <v>15</v>
      </c>
      <c r="D3" s="7" t="s">
        <v>16</v>
      </c>
      <c r="E3" s="7" t="s">
        <v>12</v>
      </c>
      <c r="F3" s="7">
        <v>30</v>
      </c>
      <c r="G3" s="7">
        <v>4.8</v>
      </c>
      <c r="H3" s="7" t="s">
        <v>17</v>
      </c>
      <c r="I3" s="7">
        <f t="shared" si="0"/>
        <v>144</v>
      </c>
    </row>
    <row r="4" spans="1:9" ht="28.5">
      <c r="A4" s="7">
        <v>46029</v>
      </c>
      <c r="B4" s="7" t="s">
        <v>18</v>
      </c>
      <c r="C4" s="7" t="s">
        <v>19</v>
      </c>
      <c r="D4" s="7" t="s">
        <v>20</v>
      </c>
      <c r="E4" s="7" t="s">
        <v>21</v>
      </c>
      <c r="F4" s="7">
        <v>45</v>
      </c>
      <c r="G4" s="7">
        <v>6.5</v>
      </c>
      <c r="H4" s="7" t="s">
        <v>22</v>
      </c>
      <c r="I4" s="7">
        <f t="shared" si="0"/>
        <v>292.5</v>
      </c>
    </row>
    <row r="5" spans="1:9" ht="28.5">
      <c r="A5" s="7">
        <v>46030</v>
      </c>
      <c r="B5" s="7" t="s">
        <v>9</v>
      </c>
      <c r="C5" s="7" t="s">
        <v>23</v>
      </c>
      <c r="D5" s="7" t="s">
        <v>24</v>
      </c>
      <c r="E5" s="7" t="s">
        <v>25</v>
      </c>
      <c r="F5" s="7">
        <v>20</v>
      </c>
      <c r="G5" s="7">
        <v>9.9</v>
      </c>
      <c r="H5" s="7" t="s">
        <v>13</v>
      </c>
      <c r="I5" s="7">
        <f t="shared" si="0"/>
        <v>198</v>
      </c>
    </row>
    <row r="6" spans="1:9">
      <c r="A6" s="7">
        <v>46031</v>
      </c>
      <c r="B6" s="7" t="s">
        <v>26</v>
      </c>
      <c r="C6" s="7" t="s">
        <v>27</v>
      </c>
      <c r="D6" s="7" t="s">
        <v>28</v>
      </c>
      <c r="E6" s="7" t="s">
        <v>12</v>
      </c>
      <c r="F6" s="7">
        <v>50</v>
      </c>
      <c r="G6" s="7">
        <v>5.7</v>
      </c>
      <c r="H6" s="7" t="s">
        <v>17</v>
      </c>
      <c r="I6" s="7">
        <f t="shared" si="0"/>
        <v>285</v>
      </c>
    </row>
    <row r="7" spans="1:9">
      <c r="A7" s="7">
        <v>46032</v>
      </c>
      <c r="B7" s="7" t="s">
        <v>14</v>
      </c>
      <c r="C7" s="7" t="s">
        <v>19</v>
      </c>
      <c r="D7" s="7" t="s">
        <v>29</v>
      </c>
      <c r="E7" s="7" t="s">
        <v>21</v>
      </c>
      <c r="F7" s="7">
        <v>18</v>
      </c>
      <c r="G7" s="7">
        <v>12.3</v>
      </c>
      <c r="H7" s="7" t="s">
        <v>22</v>
      </c>
      <c r="I7" s="7">
        <f t="shared" si="0"/>
        <v>221.4</v>
      </c>
    </row>
    <row r="8" spans="1:9">
      <c r="A8" s="7">
        <v>46033</v>
      </c>
      <c r="B8" s="7" t="s">
        <v>18</v>
      </c>
      <c r="C8" s="7" t="s">
        <v>30</v>
      </c>
      <c r="D8" s="7" t="s">
        <v>11</v>
      </c>
      <c r="E8" s="7" t="s">
        <v>12</v>
      </c>
      <c r="F8" s="7">
        <v>25</v>
      </c>
      <c r="G8" s="7">
        <v>18.899999999999999</v>
      </c>
      <c r="H8" s="7" t="s">
        <v>13</v>
      </c>
      <c r="I8" s="7">
        <f t="shared" si="0"/>
        <v>472.49999999999994</v>
      </c>
    </row>
    <row r="9" spans="1:9" ht="28.5">
      <c r="A9" s="7">
        <v>46034</v>
      </c>
      <c r="B9" s="7" t="s">
        <v>9</v>
      </c>
      <c r="C9" s="7" t="s">
        <v>15</v>
      </c>
      <c r="D9" s="7" t="s">
        <v>31</v>
      </c>
      <c r="E9" s="7" t="s">
        <v>25</v>
      </c>
      <c r="F9" s="7">
        <v>35</v>
      </c>
      <c r="G9" s="7">
        <v>3.2</v>
      </c>
      <c r="H9" s="7" t="s">
        <v>17</v>
      </c>
      <c r="I9" s="7">
        <f t="shared" si="0"/>
        <v>112</v>
      </c>
    </row>
    <row r="10" spans="1:9" ht="28.5">
      <c r="A10" s="7">
        <v>46035</v>
      </c>
      <c r="B10" s="7" t="s">
        <v>26</v>
      </c>
      <c r="C10" s="7" t="s">
        <v>10</v>
      </c>
      <c r="D10" s="7" t="s">
        <v>20</v>
      </c>
      <c r="E10" s="7" t="s">
        <v>21</v>
      </c>
      <c r="F10" s="7">
        <v>22</v>
      </c>
      <c r="G10" s="7">
        <v>6.5</v>
      </c>
      <c r="H10" s="7" t="s">
        <v>22</v>
      </c>
      <c r="I10" s="7">
        <f t="shared" si="0"/>
        <v>143</v>
      </c>
    </row>
    <row r="11" spans="1:9">
      <c r="A11" s="7">
        <v>46036</v>
      </c>
      <c r="B11" s="7" t="s">
        <v>14</v>
      </c>
      <c r="C11" s="7" t="s">
        <v>23</v>
      </c>
      <c r="D11" s="7" t="s">
        <v>28</v>
      </c>
      <c r="E11" s="7" t="s">
        <v>12</v>
      </c>
      <c r="F11" s="7">
        <v>40</v>
      </c>
      <c r="G11" s="7">
        <v>5.7</v>
      </c>
      <c r="H11" s="7" t="s">
        <v>13</v>
      </c>
      <c r="I11" s="7">
        <f t="shared" si="0"/>
        <v>228</v>
      </c>
    </row>
    <row r="12" spans="1:9">
      <c r="A12" s="7">
        <v>46037</v>
      </c>
      <c r="B12" s="7" t="s">
        <v>18</v>
      </c>
      <c r="C12" s="7" t="s">
        <v>27</v>
      </c>
      <c r="D12" s="7" t="s">
        <v>16</v>
      </c>
      <c r="E12" s="7" t="s">
        <v>12</v>
      </c>
      <c r="F12" s="7">
        <v>60</v>
      </c>
      <c r="G12" s="7">
        <v>4.8</v>
      </c>
      <c r="H12" s="7" t="s">
        <v>17</v>
      </c>
      <c r="I12" s="7">
        <f t="shared" si="0"/>
        <v>288</v>
      </c>
    </row>
    <row r="13" spans="1:9">
      <c r="A13" s="7">
        <v>46038</v>
      </c>
      <c r="B13" s="7" t="s">
        <v>9</v>
      </c>
      <c r="C13" s="7" t="s">
        <v>30</v>
      </c>
      <c r="D13" s="7" t="s">
        <v>29</v>
      </c>
      <c r="E13" s="7" t="s">
        <v>21</v>
      </c>
      <c r="F13" s="7">
        <v>15</v>
      </c>
      <c r="G13" s="7">
        <v>12.3</v>
      </c>
      <c r="H13" s="7" t="s">
        <v>22</v>
      </c>
      <c r="I13" s="7">
        <f t="shared" si="0"/>
        <v>184.5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tabSelected="1" workbookViewId="0"/>
  </sheetViews>
  <sheetFormatPr defaultRowHeight="14.25"/>
  <cols>
    <col min="1" max="1" width="11.625" customWidth="1"/>
    <col min="2" max="2" width="17.25" customWidth="1"/>
    <col min="3" max="3" width="12.625" customWidth="1"/>
    <col min="4" max="4" width="10" customWidth="1"/>
    <col min="5" max="5" width="21" customWidth="1"/>
    <col min="6" max="6" width="9.25" customWidth="1"/>
  </cols>
  <sheetData>
    <row r="1" spans="1:6" ht="15">
      <c r="A1" s="2" t="s">
        <v>0</v>
      </c>
      <c r="B1" s="1" t="s">
        <v>32</v>
      </c>
      <c r="C1" s="1" t="s">
        <v>4</v>
      </c>
      <c r="D1" s="3" t="s">
        <v>33</v>
      </c>
      <c r="E1" s="1" t="s">
        <v>7</v>
      </c>
      <c r="F1" s="1" t="s">
        <v>34</v>
      </c>
    </row>
    <row r="2" spans="1:6">
      <c r="A2">
        <v>46025</v>
      </c>
      <c r="B2" t="s">
        <v>35</v>
      </c>
      <c r="C2" t="s">
        <v>36</v>
      </c>
      <c r="D2">
        <v>1450</v>
      </c>
      <c r="E2" t="s">
        <v>37</v>
      </c>
      <c r="F2" t="s">
        <v>38</v>
      </c>
    </row>
    <row r="3" spans="1:6">
      <c r="A3">
        <v>46026</v>
      </c>
      <c r="B3" t="s">
        <v>39</v>
      </c>
      <c r="C3" t="s">
        <v>40</v>
      </c>
      <c r="D3">
        <v>220.45</v>
      </c>
      <c r="E3" t="s">
        <v>17</v>
      </c>
      <c r="F3" t="s">
        <v>38</v>
      </c>
    </row>
    <row r="4" spans="1:6">
      <c r="A4">
        <v>46027</v>
      </c>
      <c r="B4" t="s">
        <v>41</v>
      </c>
      <c r="C4" t="s">
        <v>40</v>
      </c>
      <c r="D4">
        <v>119.9</v>
      </c>
      <c r="E4" t="s">
        <v>22</v>
      </c>
      <c r="F4" t="s">
        <v>38</v>
      </c>
    </row>
    <row r="5" spans="1:6">
      <c r="A5">
        <v>46029</v>
      </c>
      <c r="B5" t="s">
        <v>42</v>
      </c>
      <c r="C5" t="s">
        <v>43</v>
      </c>
      <c r="D5">
        <v>485.7</v>
      </c>
      <c r="E5" t="s">
        <v>22</v>
      </c>
      <c r="F5" t="s">
        <v>38</v>
      </c>
    </row>
    <row r="6" spans="1:6">
      <c r="A6">
        <v>46031</v>
      </c>
      <c r="B6" t="s">
        <v>44</v>
      </c>
      <c r="C6" t="s">
        <v>45</v>
      </c>
      <c r="D6">
        <v>86.35</v>
      </c>
      <c r="E6" t="s">
        <v>13</v>
      </c>
      <c r="F6" t="s">
        <v>38</v>
      </c>
    </row>
    <row r="7" spans="1:6">
      <c r="A7">
        <v>46034</v>
      </c>
      <c r="B7" t="s">
        <v>46</v>
      </c>
      <c r="C7" t="s">
        <v>47</v>
      </c>
      <c r="D7">
        <v>92</v>
      </c>
      <c r="E7" t="s">
        <v>22</v>
      </c>
      <c r="F7" t="s">
        <v>38</v>
      </c>
    </row>
    <row r="8" spans="1:6">
      <c r="A8">
        <v>46037</v>
      </c>
      <c r="B8" t="s">
        <v>48</v>
      </c>
      <c r="C8" t="s">
        <v>49</v>
      </c>
      <c r="D8">
        <v>79.900000000000006</v>
      </c>
      <c r="E8" t="s">
        <v>22</v>
      </c>
      <c r="F8" t="s">
        <v>50</v>
      </c>
    </row>
    <row r="9" spans="1:6">
      <c r="A9">
        <v>46040</v>
      </c>
      <c r="B9" t="s">
        <v>51</v>
      </c>
      <c r="C9" t="s">
        <v>52</v>
      </c>
      <c r="D9">
        <v>150</v>
      </c>
      <c r="E9" t="s">
        <v>13</v>
      </c>
      <c r="F9" t="s">
        <v>38</v>
      </c>
    </row>
    <row r="10" spans="1:6">
      <c r="A10">
        <v>46042</v>
      </c>
      <c r="B10" t="s">
        <v>53</v>
      </c>
      <c r="C10" t="s">
        <v>47</v>
      </c>
      <c r="D10">
        <v>64</v>
      </c>
      <c r="E10" t="s">
        <v>22</v>
      </c>
      <c r="F10" t="s">
        <v>50</v>
      </c>
    </row>
    <row r="11" spans="1:6">
      <c r="A11">
        <v>46044</v>
      </c>
      <c r="B11" t="s">
        <v>54</v>
      </c>
      <c r="C11" t="s">
        <v>55</v>
      </c>
      <c r="D11">
        <v>137.80000000000001</v>
      </c>
      <c r="E11" t="s">
        <v>17</v>
      </c>
      <c r="F11" t="s">
        <v>38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workbookViewId="0"/>
  </sheetViews>
  <sheetFormatPr defaultRowHeight="14.25"/>
  <cols>
    <col min="1" max="1" width="9.875" customWidth="1"/>
    <col min="2" max="2" width="15.25" customWidth="1"/>
    <col min="3" max="3" width="8.875" customWidth="1"/>
    <col min="4" max="4" width="9.875" customWidth="1"/>
    <col min="5" max="5" width="12" customWidth="1"/>
    <col min="6" max="6" width="15.75" customWidth="1"/>
    <col min="7" max="7" width="16.625" customWidth="1"/>
    <col min="8" max="8" width="10.125" customWidth="1"/>
  </cols>
  <sheetData>
    <row r="1" spans="1:8" ht="15">
      <c r="A1" s="1" t="s">
        <v>56</v>
      </c>
      <c r="B1" s="1" t="s">
        <v>57</v>
      </c>
      <c r="C1" s="8" t="s">
        <v>58</v>
      </c>
      <c r="D1" s="8" t="s">
        <v>59</v>
      </c>
      <c r="E1" s="8" t="s">
        <v>60</v>
      </c>
      <c r="F1" s="9" t="s">
        <v>61</v>
      </c>
      <c r="G1" s="8" t="s">
        <v>62</v>
      </c>
      <c r="H1" s="1" t="s">
        <v>63</v>
      </c>
    </row>
    <row r="2" spans="1:8">
      <c r="A2" t="s">
        <v>64</v>
      </c>
      <c r="B2" t="s">
        <v>65</v>
      </c>
      <c r="C2">
        <v>8.5</v>
      </c>
      <c r="D2">
        <v>9</v>
      </c>
      <c r="E2">
        <v>8</v>
      </c>
      <c r="F2">
        <v>95</v>
      </c>
      <c r="G2">
        <f t="shared" ref="G2:G9" si="0">AVERAGE(C2:E2)</f>
        <v>8.5</v>
      </c>
      <c r="H2" t="str">
        <f t="shared" ref="H2:H9" si="1">IF(AND(G2&gt;=7,F2&gt;=75),"Aprovado","Revisar")</f>
        <v>Aprovado</v>
      </c>
    </row>
    <row r="3" spans="1:8">
      <c r="A3" t="s">
        <v>66</v>
      </c>
      <c r="B3" t="s">
        <v>65</v>
      </c>
      <c r="C3">
        <v>6</v>
      </c>
      <c r="D3">
        <v>7.5</v>
      </c>
      <c r="E3">
        <v>6.5</v>
      </c>
      <c r="F3">
        <v>82</v>
      </c>
      <c r="G3">
        <f t="shared" si="0"/>
        <v>6.666666666666667</v>
      </c>
      <c r="H3" t="str">
        <f t="shared" si="1"/>
        <v>Revisar</v>
      </c>
    </row>
    <row r="4" spans="1:8">
      <c r="A4" t="s">
        <v>67</v>
      </c>
      <c r="B4" t="s">
        <v>65</v>
      </c>
      <c r="C4">
        <v>9.5</v>
      </c>
      <c r="D4">
        <v>9</v>
      </c>
      <c r="E4">
        <v>10</v>
      </c>
      <c r="F4">
        <v>100</v>
      </c>
      <c r="G4">
        <f t="shared" si="0"/>
        <v>9.5</v>
      </c>
      <c r="H4" t="str">
        <f t="shared" si="1"/>
        <v>Aprovado</v>
      </c>
    </row>
    <row r="5" spans="1:8">
      <c r="A5" t="s">
        <v>68</v>
      </c>
      <c r="B5" t="s">
        <v>65</v>
      </c>
      <c r="C5">
        <v>5</v>
      </c>
      <c r="D5">
        <v>6</v>
      </c>
      <c r="E5">
        <v>5.5</v>
      </c>
      <c r="F5">
        <v>76</v>
      </c>
      <c r="G5">
        <f t="shared" si="0"/>
        <v>5.5</v>
      </c>
      <c r="H5" t="str">
        <f t="shared" si="1"/>
        <v>Revisar</v>
      </c>
    </row>
    <row r="6" spans="1:8">
      <c r="A6" t="s">
        <v>69</v>
      </c>
      <c r="B6" t="s">
        <v>65</v>
      </c>
      <c r="C6">
        <v>7.5</v>
      </c>
      <c r="D6">
        <v>8</v>
      </c>
      <c r="E6">
        <v>8.5</v>
      </c>
      <c r="F6">
        <v>88</v>
      </c>
      <c r="G6">
        <f t="shared" si="0"/>
        <v>8</v>
      </c>
      <c r="H6" t="str">
        <f t="shared" si="1"/>
        <v>Aprovado</v>
      </c>
    </row>
    <row r="7" spans="1:8">
      <c r="A7" t="s">
        <v>70</v>
      </c>
      <c r="B7" t="s">
        <v>65</v>
      </c>
      <c r="C7">
        <v>4</v>
      </c>
      <c r="D7">
        <v>5.5</v>
      </c>
      <c r="E7">
        <v>6</v>
      </c>
      <c r="F7">
        <v>70</v>
      </c>
      <c r="G7">
        <f t="shared" si="0"/>
        <v>5.166666666666667</v>
      </c>
      <c r="H7" t="str">
        <f t="shared" si="1"/>
        <v>Revisar</v>
      </c>
    </row>
    <row r="8" spans="1:8">
      <c r="A8" t="s">
        <v>71</v>
      </c>
      <c r="B8" t="s">
        <v>65</v>
      </c>
      <c r="C8">
        <v>8</v>
      </c>
      <c r="D8">
        <v>7</v>
      </c>
      <c r="E8">
        <v>9</v>
      </c>
      <c r="F8">
        <v>92</v>
      </c>
      <c r="G8">
        <f t="shared" si="0"/>
        <v>8</v>
      </c>
      <c r="H8" t="str">
        <f t="shared" si="1"/>
        <v>Aprovado</v>
      </c>
    </row>
    <row r="9" spans="1:8">
      <c r="A9" t="s">
        <v>72</v>
      </c>
      <c r="B9" t="s">
        <v>65</v>
      </c>
      <c r="C9">
        <v>6.5</v>
      </c>
      <c r="D9">
        <v>6</v>
      </c>
      <c r="E9">
        <v>7</v>
      </c>
      <c r="F9">
        <v>80</v>
      </c>
      <c r="G9">
        <f t="shared" si="0"/>
        <v>6.5</v>
      </c>
      <c r="H9" t="str">
        <f t="shared" si="1"/>
        <v>Revisar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workbookViewId="0"/>
  </sheetViews>
  <sheetFormatPr defaultRowHeight="14.25"/>
  <cols>
    <col min="1" max="1" width="9.75" customWidth="1"/>
    <col min="2" max="2" width="13.875" customWidth="1"/>
    <col min="3" max="3" width="12.875" customWidth="1"/>
    <col min="4" max="4" width="17.375" customWidth="1"/>
    <col min="5" max="5" width="16.625" customWidth="1"/>
    <col min="6" max="6" width="16.75" customWidth="1"/>
    <col min="7" max="7" width="18.125" customWidth="1"/>
    <col min="8" max="8" width="11" customWidth="1"/>
  </cols>
  <sheetData>
    <row r="1" spans="1:8" ht="15">
      <c r="A1" s="1" t="s">
        <v>73</v>
      </c>
      <c r="B1" s="1" t="s">
        <v>3</v>
      </c>
      <c r="C1" s="1" t="s">
        <v>4</v>
      </c>
      <c r="D1" s="1" t="s">
        <v>74</v>
      </c>
      <c r="E1" s="1" t="s">
        <v>75</v>
      </c>
      <c r="F1" s="3" t="s">
        <v>76</v>
      </c>
      <c r="G1" s="1" t="s">
        <v>77</v>
      </c>
      <c r="H1" s="1" t="s">
        <v>78</v>
      </c>
    </row>
    <row r="2" spans="1:8">
      <c r="A2" t="s">
        <v>79</v>
      </c>
      <c r="B2" t="s">
        <v>11</v>
      </c>
      <c r="C2" t="s">
        <v>12</v>
      </c>
      <c r="D2">
        <v>38</v>
      </c>
      <c r="E2">
        <v>20</v>
      </c>
      <c r="F2">
        <v>12.5</v>
      </c>
      <c r="G2" t="s">
        <v>80</v>
      </c>
      <c r="H2" t="str">
        <f t="shared" ref="H2:H9" si="0">IF(D2&lt;E2,"Comprar","Ok")</f>
        <v>Ok</v>
      </c>
    </row>
    <row r="3" spans="1:8">
      <c r="A3" t="s">
        <v>81</v>
      </c>
      <c r="B3" t="s">
        <v>16</v>
      </c>
      <c r="C3" t="s">
        <v>12</v>
      </c>
      <c r="D3">
        <v>15</v>
      </c>
      <c r="E3">
        <v>25</v>
      </c>
      <c r="F3">
        <v>3.6</v>
      </c>
      <c r="G3" t="s">
        <v>80</v>
      </c>
      <c r="H3" t="str">
        <f t="shared" si="0"/>
        <v>Comprar</v>
      </c>
    </row>
    <row r="4" spans="1:8">
      <c r="A4" t="s">
        <v>82</v>
      </c>
      <c r="B4" t="s">
        <v>20</v>
      </c>
      <c r="C4" t="s">
        <v>21</v>
      </c>
      <c r="D4">
        <v>80</v>
      </c>
      <c r="E4">
        <v>30</v>
      </c>
      <c r="F4">
        <v>4.2</v>
      </c>
      <c r="G4" t="s">
        <v>83</v>
      </c>
      <c r="H4" t="str">
        <f t="shared" si="0"/>
        <v>Ok</v>
      </c>
    </row>
    <row r="5" spans="1:8">
      <c r="A5" t="s">
        <v>84</v>
      </c>
      <c r="B5" t="s">
        <v>24</v>
      </c>
      <c r="C5" t="s">
        <v>25</v>
      </c>
      <c r="D5">
        <v>12</v>
      </c>
      <c r="E5">
        <v>20</v>
      </c>
      <c r="F5">
        <v>6.7</v>
      </c>
      <c r="G5" t="s">
        <v>85</v>
      </c>
      <c r="H5" t="str">
        <f t="shared" si="0"/>
        <v>Comprar</v>
      </c>
    </row>
    <row r="6" spans="1:8">
      <c r="A6" t="s">
        <v>86</v>
      </c>
      <c r="B6" t="s">
        <v>28</v>
      </c>
      <c r="C6" t="s">
        <v>12</v>
      </c>
      <c r="D6">
        <v>45</v>
      </c>
      <c r="E6">
        <v>40</v>
      </c>
      <c r="F6">
        <v>4.0999999999999996</v>
      </c>
      <c r="G6" t="s">
        <v>87</v>
      </c>
      <c r="H6" t="str">
        <f t="shared" si="0"/>
        <v>Ok</v>
      </c>
    </row>
    <row r="7" spans="1:8">
      <c r="A7" t="s">
        <v>88</v>
      </c>
      <c r="B7" t="s">
        <v>29</v>
      </c>
      <c r="C7" t="s">
        <v>21</v>
      </c>
      <c r="D7">
        <v>8</v>
      </c>
      <c r="E7">
        <v>15</v>
      </c>
      <c r="F7">
        <v>8.9</v>
      </c>
      <c r="G7" t="s">
        <v>83</v>
      </c>
      <c r="H7" t="str">
        <f t="shared" si="0"/>
        <v>Comprar</v>
      </c>
    </row>
    <row r="8" spans="1:8">
      <c r="A8" t="s">
        <v>89</v>
      </c>
      <c r="B8" t="s">
        <v>31</v>
      </c>
      <c r="C8" t="s">
        <v>25</v>
      </c>
      <c r="D8">
        <v>50</v>
      </c>
      <c r="E8">
        <v>25</v>
      </c>
      <c r="F8">
        <v>2.1</v>
      </c>
      <c r="G8" t="s">
        <v>85</v>
      </c>
      <c r="H8" t="str">
        <f t="shared" si="0"/>
        <v>Ok</v>
      </c>
    </row>
    <row r="9" spans="1:8">
      <c r="A9" t="s">
        <v>90</v>
      </c>
      <c r="B9" t="s">
        <v>91</v>
      </c>
      <c r="C9" t="s">
        <v>12</v>
      </c>
      <c r="D9">
        <v>32</v>
      </c>
      <c r="E9">
        <v>20</v>
      </c>
      <c r="F9">
        <v>4.5</v>
      </c>
      <c r="G9" t="s">
        <v>80</v>
      </c>
      <c r="H9" t="str">
        <f t="shared" si="0"/>
        <v>Ok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workbookViewId="0"/>
  </sheetViews>
  <sheetFormatPr defaultRowHeight="14.25"/>
  <cols>
    <col min="1" max="1" width="28" customWidth="1"/>
    <col min="2" max="2" width="11" customWidth="1"/>
    <col min="3" max="3" width="36.5" customWidth="1"/>
    <col min="4" max="4" width="28.75" customWidth="1"/>
  </cols>
  <sheetData>
    <row r="1" spans="1:4" ht="15">
      <c r="A1" s="5" t="s">
        <v>92</v>
      </c>
      <c r="B1" s="5" t="s">
        <v>93</v>
      </c>
      <c r="C1" s="5" t="s">
        <v>94</v>
      </c>
      <c r="D1" s="5" t="s">
        <v>95</v>
      </c>
    </row>
    <row r="2" spans="1:4" ht="28.5">
      <c r="A2" s="7" t="s">
        <v>96</v>
      </c>
      <c r="B2" s="7" t="s">
        <v>97</v>
      </c>
      <c r="C2" s="7" t="s">
        <v>98</v>
      </c>
      <c r="D2" s="7" t="s">
        <v>99</v>
      </c>
    </row>
    <row r="3" spans="1:4" ht="28.5">
      <c r="A3" s="7" t="s">
        <v>100</v>
      </c>
      <c r="B3" s="7" t="s">
        <v>101</v>
      </c>
      <c r="C3" s="7" t="s">
        <v>102</v>
      </c>
      <c r="D3" s="7" t="s">
        <v>103</v>
      </c>
    </row>
    <row r="4" spans="1:4" ht="28.5">
      <c r="A4" s="7" t="s">
        <v>104</v>
      </c>
      <c r="B4" s="7" t="s">
        <v>105</v>
      </c>
      <c r="C4" s="7" t="s">
        <v>106</v>
      </c>
      <c r="D4" s="7" t="s">
        <v>107</v>
      </c>
    </row>
    <row r="5" spans="1:4" ht="28.5">
      <c r="A5" s="7" t="s">
        <v>108</v>
      </c>
      <c r="B5" s="7" t="s">
        <v>109</v>
      </c>
      <c r="C5" s="7" t="s">
        <v>110</v>
      </c>
      <c r="D5" s="7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Vendas</vt:lpstr>
      <vt:lpstr>Despesas</vt:lpstr>
      <vt:lpstr>Alunos_Notas</vt:lpstr>
      <vt:lpstr>Estoque</vt:lpstr>
      <vt:lpstr>Como_usar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Aluno2</cp:lastModifiedBy>
  <dcterms:modified xsi:type="dcterms:W3CDTF">2026-05-15T18:41:05Z</dcterms:modified>
</cp:coreProperties>
</file>